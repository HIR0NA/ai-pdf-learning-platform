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cacf1292e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84a2d5730db4912"/>
    <x:sheet xmlns:r="http://schemas.openxmlformats.org/officeDocument/2006/relationships" name="สถานะโครงการ" sheetId="2" r:id="R0eb9c97af5594394"/>
    <x:sheet xmlns:r="http://schemas.openxmlformats.org/officeDocument/2006/relationships" name="Security Tests" sheetId="3" r:id="Recc87c0a30c64a70"/>
    <x:sheet xmlns:r="http://schemas.openxmlformats.org/officeDocument/2006/relationships" name="Risk Register" sheetId="4" r:id="R987d4b7dd44141ff"/>
    <x:sheet xmlns:r="http://schemas.openxmlformats.org/officeDocument/2006/relationships" name="Secure SDLC" sheetId="5" r:id="R39ca3559f73e4346"/>
    <x:sheet xmlns:r="http://schemas.openxmlformats.org/officeDocument/2006/relationships" name="Architecture &amp; API" sheetId="6" r:id="Rb38860584d7346b1"/>
    <x:sheet xmlns:r="http://schemas.openxmlformats.org/officeDocument/2006/relationships" name="ตั้งค่า" sheetId="7" r:id="Rf6b3d56be5ad45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/mm/yyyy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1"/>
      <x:color rgb="FF1D4ED8"/>
      <x:name val="Carlito"/>
    </x:font>
    <x:font>
      <x:b/>
      <x:sz val="24"/>
      <x:color rgb="FF0F172A"/>
      <x:name val="Carlito"/>
    </x:font>
    <x:font>
      <x:b/>
      <x:sz val="13"/>
      <x:color rgb="FFFFFFFF"/>
      <x:name val="Carlito"/>
    </x:font>
    <x:font>
      <x:b/>
      <x:sz val="10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15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1" fontId="3" fillId="0" borderId="4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1" fontId="3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200" fontId="5" fillId="0" borderId="10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200" fontId="5" fillId="0" borderId="12" xfId="0" applyNumberFormat="1" applyFont="1" applyFill="1" applyBorder="1" applyAlignment="1">
      <x:alignment horizontal="center" vertical="center"/>
    </x:xf>
    <x:xf numFmtId="200" fontId="5" fillId="0" borderId="13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51a81d48f41c5" /><Relationship Type="http://schemas.openxmlformats.org/officeDocument/2006/relationships/theme" Target="/xl/theme/theme1.xml" Id="R1a9975d77cf94492" /><Relationship Type="http://schemas.openxmlformats.org/officeDocument/2006/relationships/sharedStrings" Target="/xl/sharedStrings.xml" Id="R41d738346c4648e4" /><Relationship Type="http://schemas.openxmlformats.org/officeDocument/2006/relationships/worksheet" Target="/xl/worksheets/sheet1.xml" Id="R084a2d5730db4912" /><Relationship Type="http://schemas.openxmlformats.org/officeDocument/2006/relationships/worksheet" Target="/xl/worksheets/sheet2.xml" Id="R0eb9c97af5594394" /><Relationship Type="http://schemas.openxmlformats.org/officeDocument/2006/relationships/worksheet" Target="/xl/worksheets/sheet3.xml" Id="Recc87c0a30c64a70" /><Relationship Type="http://schemas.openxmlformats.org/officeDocument/2006/relationships/worksheet" Target="/xl/worksheets/sheet4.xml" Id="R987d4b7dd44141ff" /><Relationship Type="http://schemas.openxmlformats.org/officeDocument/2006/relationships/worksheet" Target="/xl/worksheets/sheet5.xml" Id="R39ca3559f73e4346" /><Relationship Type="http://schemas.openxmlformats.org/officeDocument/2006/relationships/worksheet" Target="/xl/worksheets/sheet6.xml" Id="Rb38860584d7346b1" /><Relationship Type="http://schemas.openxmlformats.org/officeDocument/2006/relationships/worksheet" Target="/xl/worksheets/sheet7.xml" Id="Rf6b3d56be5ad45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6646fae17d49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สัดส่วนสถานะฟังก์ชัน</a:t>
            </a:r>
          </a:p>
        </c:rich>
      </c:tx>
      <c:overlay val="0"/>
    </c:title>
    <c:plotArea>
      <c:doughnutChart>
        <c:ser>
          <c:idx val="0"/>
          <c:order val="0"/>
          <c:tx>
            <c:v>จำนวน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'Dashboard'!$B$10:$B$13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6646fae17d49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ProgressTable" displayName="ProjectProgressTable" ref="A3:I13" headerRowCount="1" totalsRowCount="0" totalsRowShown="0">
  <x:tableColumns count="9">
    <x:tableColumn id="1" name="ID"/>
    <x:tableColumn id="2" name="หมวด"/>
    <x:tableColumn id="3" name="ฟังก์ชัน"/>
    <x:tableColumn id="4" name="สถานะ"/>
    <x:tableColumn id="5" name="ความก้าวหน้า"/>
    <x:tableColumn id="6" name="หลักฐาน / หมายเหตุ"/>
    <x:tableColumn id="7" name="ผู้รับผิดชอบ"/>
    <x:tableColumn id="8" name="งานถัดไป"/>
    <x:tableColumn id="9" name="เป้าหมายเสร็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urityTestsTable" displayName="SecurityTestsTable" ref="A3:G13" headerRowCount="1" totalsRowCount="0" totalsRowShown="0">
  <x:tableColumns count="7">
    <x:tableColumn id="1" name="ID"/>
    <x:tableColumn id="2" name="Test Case"/>
    <x:tableColumn id="3" name="ผลที่คาดหวัง"/>
    <x:tableColumn id="4" name="ผลจริง"/>
    <x:tableColumn id="5" name="ผลการทดสอบ"/>
    <x:tableColumn id="6" name="ความรุนแรง"/>
    <x:tableColumn id="7" name="หลักฐาน / หมายเหต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RegisterTable" displayName="RiskRegisterTable" ref="A3:J11" headerRowCount="1" totalsRowCount="0" totalsRowShown="0">
  <x:tableColumns count="10">
    <x:tableColumn id="1" name="ID"/>
    <x:tableColumn id="2" name="Asset / Function"/>
    <x:tableColumn id="3" name="Threat"/>
    <x:tableColumn id="4" name="ช่องโหว่"/>
    <x:tableColumn id="5" name="Likelihood"/>
    <x:tableColumn id="6" name="Impact"/>
    <x:tableColumn id="7" name="Risk Score"/>
    <x:tableColumn id="8" name="ระดับ"/>
    <x:tableColumn id="9" name="สถานะ"/>
    <x:tableColumn id="10" name="วิธีป้องกัน / งานแก้ไข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cureSDLCTable" displayName="SecureSDLCTable" ref="A3:F9" headerRowCount="1" totalsRowCount="0" totalsRowShown="0">
  <x:tableColumns count="6">
    <x:tableColumn id="1" name="ขั้นตอน"/>
    <x:tableColumn id="2" name="สถานะ"/>
    <x:tableColumn id="3" name="ความก้าวหน้า"/>
    <x:tableColumn id="4" name="หลักฐานที่มี"/>
    <x:tableColumn id="5" name="ช่องว่าง"/>
    <x:tableColumn id="6" name="งานถัดไป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e59d10f84f4a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e39938896043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546d90bf4141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77f74e041742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381b40cb244b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46" hidden="0" customWidth="1"/>
    <x:col min="9" max="9" width="18" hidden="0" customWidth="1"/>
    <x:col min="10" max="10" width="18" hidden="0" customWidth="1"/>
  </x:cols>
  <x:sheetData>
    <x:row r="1" ht="54" customHeight="1">
      <x:c r="A1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B1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C1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D1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E1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F1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G1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H1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I1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J1" s="4" t="str">
        <x:v>AI Study Companion — Progress &amp; Security Dashboard
สถานะปัจจุบัน: ยังไม่พร้อมส่ง production | ประเด็นวิกฤตต้องแก้ก่อน</x:v>
      </x:c>
    </x:row>
    <x:row r="2" ht="54" customHeight="1">
      <x:c r="A2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B2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C2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D2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E2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F2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G2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H2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I2" s="4" t="str">
        <x:v>AI Study Companion — Progress &amp; Security Dashboard
สถานะปัจจุบัน: ยังไม่พร้อมส่ง production | ประเด็นวิกฤตต้องแก้ก่อน</x:v>
      </x:c>
      <x:c r="J2" s="4" t="str">
        <x:v>AI Study Companion — Progress &amp; Security Dashboard
สถานะปัจจุบัน: ยังไม่พร้อมส่ง production | ประเด็นวิกฤตต้องแก้ก่อน</x:v>
      </x:c>
    </x:row>
    <x:row r="4">
      <x:c r="A4" s="37" t="str">
        <x:v>ความก้าวหน้าเฉลี่ย</x:v>
      </x:c>
      <x:c r="B4" s="38" t="str">
        <x:v>ความก้าวหน้าเฉลี่ย</x:v>
      </x:c>
      <x:c r="C4" s="38" t="str">
        <x:v>เสร็จแล้ว</x:v>
      </x:c>
      <x:c r="D4" s="38" t="str">
        <x:v>เสร็จแล้ว</x:v>
      </x:c>
      <x:c r="E4" s="38" t="str">
        <x:v>กำลังพัฒนา</x:v>
      </x:c>
      <x:c r="F4" s="38" t="str">
        <x:v>กำลังพัฒนา</x:v>
      </x:c>
      <x:c r="G4" s="38" t="str">
        <x:v>มีปัญหา</x:v>
      </x:c>
      <x:c r="H4" s="38" t="str">
        <x:v>มีปัญหา</x:v>
      </x:c>
      <x:c r="I4" s="38" t="str">
        <x:v>Risk วิกฤต</x:v>
      </x:c>
      <x:c r="J4" s="39" t="str">
        <x:v>Risk วิกฤต</x:v>
      </x:c>
    </x:row>
    <x:row r="5">
      <x:c r="A5" s="40" t="n">
        <x:f>AVERAGE('สถานะโครงการ'!E4:E13)</x:f>
        <x:v>0.5799999999999998</x:v>
      </x:c>
      <x:c r="B5" s="36"/>
      <x:c r="C5" s="35" t="n">
        <x:f>COUNTIF('สถานะโครงการ'!D4:D13,"เสร็จแล้ว")</x:f>
        <x:v>2</x:v>
      </x:c>
      <x:c r="D5" s="35"/>
      <x:c r="E5" s="35" t="n">
        <x:f>COUNTIF('สถานะโครงการ'!D4:D13,"กำลังพัฒนา")</x:f>
        <x:v>6</x:v>
      </x:c>
      <x:c r="F5" s="35"/>
      <x:c r="G5" s="35" t="n">
        <x:f>COUNTIF('สถานะโครงการ'!D4:D13,"มีปัญหา")</x:f>
        <x:v>1</x:v>
      </x:c>
      <x:c r="H5" s="35"/>
      <x:c r="I5" s="35" t="n">
        <x:f>COUNTIF('Risk Register'!H4:H11,"วิกฤต")</x:f>
        <x:v>3</x:v>
      </x:c>
      <x:c r="J5" s="41"/>
    </x:row>
    <x:row r="6">
      <x:c r="A6" s="42"/>
      <x:c r="B6" s="43"/>
      <x:c r="C6" s="44"/>
      <x:c r="D6" s="44"/>
      <x:c r="E6" s="44"/>
      <x:c r="F6" s="44"/>
      <x:c r="G6" s="44"/>
      <x:c r="H6" s="44"/>
      <x:c r="I6" s="44"/>
      <x:c r="J6" s="45"/>
    </x:row>
    <x:row r="8">
      <x:c r="A8" s="46" t="str">
        <x:v>สถานะฟังก์ชัน</x:v>
      </x:c>
      <x:c r="B8" s="46" t="str">
        <x:v>สถานะฟังก์ชัน</x:v>
      </x:c>
      <x:c r="C8" s="46" t="str">
        <x:v>สถานะฟังก์ชัน</x:v>
      </x:c>
      <x:c r="D8" s="46" t="str">
        <x:v>สถานะฟังก์ชัน</x:v>
      </x:c>
      <x:c r="F8" s="46" t="str">
        <x:v>งานเร่งด่วนก่อนส่งมอบ</x:v>
      </x:c>
      <x:c r="G8" s="46" t="str">
        <x:v>งานเร่งด่วนก่อนส่งมอบ</x:v>
      </x:c>
      <x:c r="H8" s="46" t="str">
        <x:v>งานเร่งด่วนก่อนส่งมอบ</x:v>
      </x:c>
      <x:c r="I8" s="46" t="str">
        <x:v>งานเร่งด่วนก่อนส่งมอบ</x:v>
      </x:c>
      <x:c r="J8" s="46" t="str">
        <x:v>งานเร่งด่วนก่อนส่งมอบ</x:v>
      </x:c>
    </x:row>
    <x:row r="9" ht="32" customHeight="1">
      <x:c r="A9" s="9" t="str">
        <x:v>สถานะ</x:v>
      </x:c>
      <x:c r="B9" s="11" t="str">
        <x:v>จำนวน</x:v>
      </x:c>
      <x:c r="F9" s="9" t="str">
        <x:v>ลำดับ</x:v>
      </x:c>
      <x:c r="G9" s="10" t="str">
        <x:v>ประเด็น</x:v>
      </x:c>
      <x:c r="H9" s="10" t="str">
        <x:v>ระดับ</x:v>
      </x:c>
      <x:c r="I9" s="10" t="str">
        <x:v>สถานะ</x:v>
      </x:c>
      <x:c r="J9" s="11" t="str">
        <x:v>หลักฐาน</x:v>
      </x:c>
    </x:row>
    <x:row r="10">
      <x:c r="A10" s="21" t="str">
        <x:v>เสร็จแล้ว</x:v>
      </x:c>
      <x:c r="B10" s="15" t="n">
        <x:f>COUNTIF('สถานะโครงการ'!D4:D13,A10)</x:f>
        <x:v>2</x:v>
      </x:c>
      <x:c r="F10" s="15" t="n">
        <x:v>1</x:v>
      </x:c>
      <x:c r="G10" s="15" t="str">
        <x:v>ลบ hardcoded admin/admin</x:v>
      </x:c>
      <x:c r="H10" s="15" t="str">
        <x:v>วิกฤต</x:v>
      </x:c>
      <x:c r="I10" s="21" t="str">
        <x:v>มีปัญหา</x:v>
      </x:c>
      <x:c r="J10" s="15" t="str">
        <x:v>auth route</x:v>
      </x:c>
    </x:row>
    <x:row r="11">
      <x:c r="A11" s="22" t="str">
        <x:v>กำลังพัฒนา</x:v>
      </x:c>
      <x:c r="B11" s="16" t="n">
        <x:f>COUNTIF('สถานะโครงการ'!D5:D14,A11)</x:f>
        <x:v>5</x:v>
      </x:c>
      <x:c r="F11" s="16" t="n">
        <x:v>2</x:v>
      </x:c>
      <x:c r="G11" s="16" t="str">
        <x:v>ปิดช่องโหว่ path traversal</x:v>
      </x:c>
      <x:c r="H11" s="16" t="str">
        <x:v>วิกฤต</x:v>
      </x:c>
      <x:c r="I11" s="22" t="str">
        <x:v>มีปัญหา</x:v>
      </x:c>
      <x:c r="J11" s="16" t="str">
        <x:v>files/[filename]</x:v>
      </x:c>
    </x:row>
    <x:row r="12">
      <x:c r="A12" s="22" t="str">
        <x:v>ยังไม่เริ่ม</x:v>
      </x:c>
      <x:c r="B12" s="16" t="n">
        <x:f>COUNTIF('สถานะโครงการ'!D6:D15,A12)</x:f>
        <x:v>1</x:v>
      </x:c>
      <x:c r="F12" s="16" t="n">
        <x:v>3</x:v>
      </x:c>
      <x:c r="G12" s="16" t="str">
        <x:v>หยุด track uploads และ purge history</x:v>
      </x:c>
      <x:c r="H12" s="16" t="str">
        <x:v>วิกฤต</x:v>
      </x:c>
      <x:c r="I12" s="22" t="str">
        <x:v>มีปัญหา</x:v>
      </x:c>
      <x:c r="J12" s="16" t="str">
        <x:v>Git repository</x:v>
      </x:c>
    </x:row>
    <x:row r="13">
      <x:c r="A13" s="23" t="str">
        <x:v>มีปัญหา</x:v>
      </x:c>
      <x:c r="B13" s="17" t="n">
        <x:f>COUNTIF('สถานะโครงการ'!D7:D16,A13)</x:f>
        <x:v>1</x:v>
      </x:c>
      <x:c r="F13" s="17" t="n">
        <x:v>4</x:v>
      </x:c>
      <x:c r="G13" s="17" t="str">
        <x:v>ลบ physical file + retention policy</x:v>
      </x:c>
      <x:c r="H13" s="17" t="str">
        <x:v>สูง</x:v>
      </x:c>
      <x:c r="I13" s="23" t="str">
        <x:v>กำลังพัฒนา</x:v>
      </x:c>
      <x:c r="J13" s="17" t="str">
        <x:v>DELETE document</x:v>
      </x:c>
    </x:row>
    <x:row r="15">
      <x:c r="F15" s="46" t="str">
        <x:v>ภาพรวมด้านความปลอดภัย</x:v>
      </x:c>
      <x:c r="G15" s="46" t="str">
        <x:v>ภาพรวมด้านความปลอดภัย</x:v>
      </x:c>
      <x:c r="H15" s="46" t="str">
        <x:v>ภาพรวมด้านความปลอดภัย</x:v>
      </x:c>
      <x:c r="I15" s="46" t="str">
        <x:v>ภาพรวมด้านความปลอดภัย</x:v>
      </x:c>
      <x:c r="J15" s="46" t="str">
        <x:v>ภาพรวมด้านความปลอดภัย</x:v>
      </x:c>
    </x:row>
    <x:row r="16" ht="32" customHeight="1">
      <x:c r="F16" s="9" t="str">
        <x:v>หัวข้อ</x:v>
      </x:c>
      <x:c r="G16" s="10" t="str">
        <x:v>ผล</x:v>
      </x:c>
      <x:c r="H16" s="10" t="str">
        <x:v>รายละเอียด</x:v>
      </x:c>
      <x:c r="I16" s="10" t="str">
        <x:v>เจ้าของ</x:v>
      </x:c>
      <x:c r="J16" s="11" t="str">
        <x:v>เป้าหมาย</x:v>
      </x:c>
    </x:row>
    <x:row r="17">
      <x:c r="F17" s="47" t="str">
        <x:v>Password hashing</x:v>
      </x:c>
      <x:c r="G17" s="15" t="str">
        <x:v>ผ่าน</x:v>
      </x:c>
      <x:c r="H17" s="15" t="str">
        <x:v>ใช้ bcrypt</x:v>
      </x:c>
      <x:c r="I17" s="15" t="str">
        <x:v>ยังไม่ระบุ</x:v>
      </x:c>
      <x:c r="J17" s="15"/>
    </x:row>
    <x:row r="18">
      <x:c r="F18" s="48" t="str">
        <x:v>Upload validation</x:v>
      </x:c>
      <x:c r="G18" s="16" t="str">
        <x:v>กำลังพัฒนา</x:v>
      </x:c>
      <x:c r="H18" s="16" t="str">
        <x:v>ผ่าน ext/MIME/signature; size handling ยังผิด</x:v>
      </x:c>
      <x:c r="I18" s="16" t="str">
        <x:v>ยังไม่ระบุ</x:v>
      </x:c>
      <x:c r="J18" s="16"/>
    </x:row>
    <x:row r="19">
      <x:c r="F19" s="48" t="str">
        <x:v>Authorization</x:v>
      </x:c>
      <x:c r="G19" s="16" t="str">
        <x:v>มีปัญหา</x:v>
      </x:c>
      <x:c r="H19" s="16" t="str">
        <x:v>พบ path traversal และ admin hardcode</x:v>
      </x:c>
      <x:c r="I19" s="16" t="str">
        <x:v>ยังไม่ระบุ</x:v>
      </x:c>
      <x:c r="J19" s="16"/>
    </x:row>
    <x:row r="20">
      <x:c r="F20" s="48" t="str">
        <x:v>Privacy/Retention</x:v>
      </x:c>
      <x:c r="G20" s="16" t="str">
        <x:v>มีปัญหา</x:v>
      </x:c>
      <x:c r="H20" s="16" t="str">
        <x:v>Git uploads + physical file ไม่ถูกลบ</x:v>
      </x:c>
      <x:c r="I20" s="16" t="str">
        <x:v>ยังไม่ระบุ</x:v>
      </x:c>
      <x:c r="J20" s="16"/>
    </x:row>
    <x:row r="21">
      <x:c r="F21" s="49" t="str">
        <x:v>Dependency audit</x:v>
      </x:c>
      <x:c r="G21" s="17" t="str">
        <x:v>มีปัญหา</x:v>
      </x:c>
      <x:c r="H21" s="17" t="str">
        <x:v>8 vulnerabilities: 1 critical, 4 high, 3 moderate</x:v>
      </x:c>
      <x:c r="I21" s="17" t="str">
        <x:v>ยังไม่ระบุ</x:v>
      </x:c>
      <x:c r="J21" s="17"/>
    </x:row>
  </x:sheetData>
  <x:mergeCells>
    <x:mergeCell ref="A1:J2"/>
    <x:mergeCell ref="A4:B4"/>
    <x:mergeCell ref="C4:D4"/>
    <x:mergeCell ref="E4:F4"/>
    <x:mergeCell ref="G4:H4"/>
    <x:mergeCell ref="I4:J4"/>
    <x:mergeCell ref="A5:B6"/>
    <x:mergeCell ref="C5:D6"/>
    <x:mergeCell ref="E5:F6"/>
    <x:mergeCell ref="G5:H6"/>
    <x:mergeCell ref="I5:J6"/>
    <x:mergeCell ref="A8:D8"/>
    <x:mergeCell ref="F8:J8"/>
    <x:mergeCell ref="F15:J15"/>
  </x:mergeCells>
  <x:conditionalFormatting sqref="A10:A13">
    <x:cfRule type="containsText" dxfId="23" priority="1" operator="containsText" text="เสร็จแล้ว"/>
    <x:cfRule type="containsText" dxfId="24" priority="2" operator="containsText" text="กำลังพัฒนา"/>
    <x:cfRule type="containsText" dxfId="25" priority="3" operator="containsText" text="ยังไม่เริ่ม"/>
    <x:cfRule type="containsText" dxfId="26" priority="4" operator="containsText" text="มีปัญหา"/>
  </x:conditionalFormatting>
  <x:conditionalFormatting sqref="I10:I13">
    <x:cfRule type="containsText" dxfId="27" priority="5" operator="containsText" text="เสร็จแล้ว"/>
    <x:cfRule type="containsText" dxfId="28" priority="6" operator="containsText" text="กำลังพัฒนา"/>
    <x:cfRule type="containsText" dxfId="29" priority="7" operator="containsText" text="ยังไม่เริ่ม"/>
    <x:cfRule type="containsText" dxfId="30" priority="8" operator="containsText" text="มีปัญหา"/>
  </x:conditionalFormatting>
  <x:conditionalFormatting sqref="G17:G21">
    <x:cfRule type="containsText" dxfId="31" priority="9" operator="containsText" text="ผ่าน"/>
    <x:cfRule type="containsText" dxfId="32" priority="10" operator="containsText" text="กำลังพัฒนา"/>
    <x:cfRule type="containsText" dxfId="33" priority="11" operator="containsText" text="มีปัญหา"/>
  </x:conditionalFormatting>
  <x:dataValidations count="2">
    <x:dataValidation type="list" sqref="A10:A13">
      <x:formula1>"เสร็จแล้ว,กำลังพัฒนา,ยังไม่เริ่ม,มีปัญหา"</x:formula1>
    </x:dataValidation>
    <x:dataValidation type="list" sqref="I10:I13">
      <x:formula1>"เสร็จแล้ว,กำลังพัฒนา,ยังไม่เริ่ม,มีปัญหา"</x:formula1>
    </x:dataValidation>
  </x:dataValidations>
  <x:pageMargins left="0.7" right="0.7" top="0.75" bottom="0.75" header="0.3" footer="0.3"/>
  <x:drawing xmlns:r="http://schemas.openxmlformats.org/officeDocument/2006/relationships" r:id="R83e59d10f84f4a7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32" hidden="0" customWidth="1"/>
    <x:col min="4" max="4" width="18" hidden="0" customWidth="1"/>
    <x:col min="5" max="5" width="16" hidden="0" customWidth="1"/>
    <x:col min="6" max="6" width="58" hidden="0" customWidth="1"/>
    <x:col min="7" max="7" width="18" hidden="0" customWidth="1"/>
    <x:col min="8" max="8" width="48" hidden="0" customWidth="1"/>
    <x:col min="9" max="9" width="16" hidden="0" customWidth="1"/>
  </x:cols>
  <x:sheetData>
    <x:row r="1" ht="54" customHeight="1">
      <x:c r="A1" s="4" t="str">
        <x:v>สรุปความก้าวหน้า AI Study Companion
ประเมินจากโค้ด การรันระบบ และผลทดสอบเบื้องต้น ณ 23 ส.ค. 2026</x:v>
      </x:c>
      <x:c r="B1" s="4" t="str">
        <x:v>สรุปความก้าวหน้า AI Study Companion
ประเมินจากโค้ด การรันระบบ และผลทดสอบเบื้องต้น ณ 23 ส.ค. 2026</x:v>
      </x:c>
      <x:c r="C1" s="4" t="str">
        <x:v>สรุปความก้าวหน้า AI Study Companion
ประเมินจากโค้ด การรันระบบ และผลทดสอบเบื้องต้น ณ 23 ส.ค. 2026</x:v>
      </x:c>
      <x:c r="D1" s="4" t="str">
        <x:v>สรุปความก้าวหน้า AI Study Companion
ประเมินจากโค้ด การรันระบบ และผลทดสอบเบื้องต้น ณ 23 ส.ค. 2026</x:v>
      </x:c>
      <x:c r="E1" s="4" t="str">
        <x:v>สรุปความก้าวหน้า AI Study Companion
ประเมินจากโค้ด การรันระบบ และผลทดสอบเบื้องต้น ณ 23 ส.ค. 2026</x:v>
      </x:c>
      <x:c r="F1" s="4" t="str">
        <x:v>สรุปความก้าวหน้า AI Study Companion
ประเมินจากโค้ด การรันระบบ และผลทดสอบเบื้องต้น ณ 23 ส.ค. 2026</x:v>
      </x:c>
      <x:c r="G1" s="4" t="str">
        <x:v>สรุปความก้าวหน้า AI Study Companion
ประเมินจากโค้ด การรันระบบ และผลทดสอบเบื้องต้น ณ 23 ส.ค. 2026</x:v>
      </x:c>
      <x:c r="H1" s="4" t="str">
        <x:v>สรุปความก้าวหน้า AI Study Companion
ประเมินจากโค้ด การรันระบบ และผลทดสอบเบื้องต้น ณ 23 ส.ค. 2026</x:v>
      </x:c>
      <x:c r="I1" s="4" t="str">
        <x:v>สรุปความก้าวหน้า AI Study Companion
ประเมินจากโค้ด การรันระบบ และผลทดสอบเบื้องต้น ณ 23 ส.ค. 2026</x:v>
      </x:c>
    </x:row>
    <x:row r="3" ht="32" customHeight="1">
      <x:c r="A3" s="9" t="str">
        <x:v>ID</x:v>
      </x:c>
      <x:c r="B3" s="10" t="str">
        <x:v>หมวด</x:v>
      </x:c>
      <x:c r="C3" s="10" t="str">
        <x:v>ฟังก์ชัน</x:v>
      </x:c>
      <x:c r="D3" s="10" t="str">
        <x:v>สถานะ</x:v>
      </x:c>
      <x:c r="E3" s="10" t="str">
        <x:v>ความก้าวหน้า</x:v>
      </x:c>
      <x:c r="F3" s="10" t="str">
        <x:v>หลักฐาน / หมายเหตุ</x:v>
      </x:c>
      <x:c r="G3" s="10" t="str">
        <x:v>ผู้รับผิดชอบ</x:v>
      </x:c>
      <x:c r="H3" s="10" t="str">
        <x:v>งานถัดไป</x:v>
      </x:c>
      <x:c r="I3" s="11" t="str">
        <x:v>เป้าหมายเสร็จ</x:v>
      </x:c>
    </x:row>
    <x:row r="4">
      <x:c r="A4" s="18" t="n">
        <x:v>1</x:v>
      </x:c>
      <x:c r="B4" s="15" t="str">
        <x:v>Core</x:v>
      </x:c>
      <x:c r="C4" s="15" t="str">
        <x:v>สมัครสมาชิก / เข้าสู่ระบบ</x:v>
      </x:c>
      <x:c r="D4" s="21" t="str">
        <x:v>กำลังพัฒนา</x:v>
      </x:c>
      <x:c r="E4" s="24" t="n">
        <x:v>0.75</x:v>
      </x:c>
      <x:c r="F4" s="15" t="str">
        <x:v>มี bcrypt, session, lockout; แต่ยังมีบัญชี admin/admin แบบ hardcode</x:v>
      </x:c>
      <x:c r="G4" s="15" t="str">
        <x:v>ยังไม่ระบุ</x:v>
      </x:c>
      <x:c r="H4" s="15" t="str">
        <x:v>ลบบัญชี hardcode และเพิ่ม automated auth tests</x:v>
      </x:c>
      <x:c r="I4" s="27"/>
    </x:row>
    <x:row r="5">
      <x:c r="A5" s="19" t="n">
        <x:v>2</x:v>
      </x:c>
      <x:c r="B5" s="16" t="str">
        <x:v>Core</x:v>
      </x:c>
      <x:c r="C5" s="16" t="str">
        <x:v>Dashboard</x:v>
      </x:c>
      <x:c r="D5" s="22" t="str">
        <x:v>เสร็จแล้ว</x:v>
      </x:c>
      <x:c r="E5" s="25" t="n">
        <x:v>0.9</x:v>
      </x:c>
      <x:c r="F5" s="16" t="str">
        <x:v>มีจัดการเอกสาร ตัวเลือกโมเดล และเครื่องมือเรียนรู้</x:v>
      </x:c>
      <x:c r="G5" s="16" t="str">
        <x:v>ยังไม่ระบุ</x:v>
      </x:c>
      <x:c r="H5" s="16" t="str">
        <x:v>เก็บ UX feedback และเพิ่ม empty/error states</x:v>
      </x:c>
      <x:c r="I5" s="28"/>
    </x:row>
    <x:row r="6">
      <x:c r="A6" s="19" t="n">
        <x:v>3</x:v>
      </x:c>
      <x:c r="B6" s="16" t="str">
        <x:v>File Security</x:v>
      </x:c>
      <x:c r="C6" s="16" t="str">
        <x:v>Upload / PDF Extraction</x:v>
      </x:c>
      <x:c r="D6" s="22" t="str">
        <x:v>กำลังพัฒนา</x:v>
      </x:c>
      <x:c r="E6" s="25" t="n">
        <x:v>0.75</x:v>
      </x:c>
      <x:c r="F6" s="16" t="str">
        <x:v>ตรวจนามสกุล MIME magic bytes จำกัด 10MB เปลี่ยนชื่อ UUID และเก็บนอก public; ไฟล์เกินขนาดตอบ 500</x:v>
      </x:c>
      <x:c r="G6" s="16" t="str">
        <x:v>ยังไม่ระบุ</x:v>
      </x:c>
      <x:c r="H6" s="16" t="str">
        <x:v>บังคับ body limit ก่อน parse และตอบ 413</x:v>
      </x:c>
      <x:c r="I6" s="28"/>
    </x:row>
    <x:row r="7">
      <x:c r="A7" s="19" t="n">
        <x:v>4</x:v>
      </x:c>
      <x:c r="B7" s="16" t="str">
        <x:v>AI</x:v>
      </x:c>
      <x:c r="C7" s="16" t="str">
        <x:v>AI Chat Streaming</x:v>
      </x:c>
      <x:c r="D7" s="22" t="str">
        <x:v>กำลังพัฒนา</x:v>
      </x:c>
      <x:c r="E7" s="25" t="n">
        <x:v>0.8</x:v>
      </x:c>
      <x:c r="F7" s="16" t="str">
        <x:v>Streaming ใช้งานได้; provider บางรายติด quota/credits ภายนอก</x:v>
      </x:c>
      <x:c r="G7" s="16" t="str">
        <x:v>ยังไม่ระบุ</x:v>
      </x:c>
      <x:c r="H7" s="16" t="str">
        <x:v>เพิ่ม fallback, timeout และ cost guard</x:v>
      </x:c>
      <x:c r="I7" s="28"/>
    </x:row>
    <x:row r="8">
      <x:c r="A8" s="19" t="n">
        <x:v>5</x:v>
      </x:c>
      <x:c r="B8" s="16" t="str">
        <x:v>Learning Tools</x:v>
      </x:c>
      <x:c r="C8" s="16" t="str">
        <x:v>Summary / Quiz / Flashcard / Schedule</x:v>
      </x:c>
      <x:c r="D8" s="22" t="str">
        <x:v>เสร็จแล้ว</x:v>
      </x:c>
      <x:c r="E8" s="25" t="n">
        <x:v>0.85</x:v>
      </x:c>
      <x:c r="F8" s="16" t="str">
        <x:v>AI อ่านเอกสารแล้วสร้างสรุป โจทย์ Flashcard และ Schedule ได้</x:v>
      </x:c>
      <x:c r="G8" s="16" t="str">
        <x:v>ยังไม่ระบุ</x:v>
      </x:c>
      <x:c r="H8" s="16" t="str">
        <x:v>เพิ่มคุณภาพผลลัพธ์และ regression tests</x:v>
      </x:c>
      <x:c r="I8" s="28"/>
    </x:row>
    <x:row r="9">
      <x:c r="A9" s="19" t="n">
        <x:v>6</x:v>
      </x:c>
      <x:c r="B9" s="16" t="str">
        <x:v>Data Lifecycle</x:v>
      </x:c>
      <x:c r="C9" s="16" t="str">
        <x:v>Document Management</x:v>
      </x:c>
      <x:c r="D9" s="22" t="str">
        <x:v>กำลังพัฒนา</x:v>
      </x:c>
      <x:c r="E9" s="25" t="n">
        <x:v>0.55</x:v>
      </x:c>
      <x:c r="F9" s="16" t="str">
        <x:v>ลบรายการใน DB ได้ แต่ไฟล์จริงยังคงอยู่ในเครื่อง</x:v>
      </x:c>
      <x:c r="G9" s="16" t="str">
        <x:v>ยังไม่ระบุ</x:v>
      </x:c>
      <x:c r="H9" s="16" t="str">
        <x:v>ลบไฟล์จริงและกำหนด retention policy</x:v>
      </x:c>
      <x:c r="I9" s="28"/>
    </x:row>
    <x:row r="10">
      <x:c r="A10" s="19" t="n">
        <x:v>7</x:v>
      </x:c>
      <x:c r="B10" s="16" t="str">
        <x:v>Security</x:v>
      </x:c>
      <x:c r="C10" s="16" t="str">
        <x:v>Logging / Rate Limiting</x:v>
      </x:c>
      <x:c r="D10" s="22" t="str">
        <x:v>กำลังพัฒนา</x:v>
      </x:c>
      <x:c r="E10" s="25" t="n">
        <x:v>0.55</x:v>
      </x:c>
      <x:c r="F10" s="16" t="str">
        <x:v>มี login/access log และ rate limit; แต่ X-Forwarded-For spoof bypass ได้และเก็บใน memory</x:v>
      </x:c>
      <x:c r="G10" s="16" t="str">
        <x:v>ยังไม่ระบุ</x:v>
      </x:c>
      <x:c r="H10" s="16" t="str">
        <x:v>ใช้ trusted proxy + Redis rate limit</x:v>
      </x:c>
      <x:c r="I10" s="28"/>
    </x:row>
    <x:row r="11">
      <x:c r="A11" s="19" t="n">
        <x:v>8</x:v>
      </x:c>
      <x:c r="B11" s="16" t="str">
        <x:v>Privacy</x:v>
      </x:c>
      <x:c r="C11" s="16" t="str">
        <x:v>Privacy / Retention</x:v>
      </x:c>
      <x:c r="D11" s="22" t="str">
        <x:v>มีปัญหา</x:v>
      </x:c>
      <x:c r="E11" s="25" t="n">
        <x:v>0.25</x:v>
      </x:c>
      <x:c r="F11" s="16" t="str">
        <x:v>ยังไม่มี privacy policy; พบ uploads ถูกติดตามใน Git</x:v>
      </x:c>
      <x:c r="G11" s="16" t="str">
        <x:v>ยังไม่ระบุ</x:v>
      </x:c>
      <x:c r="H11" s="16" t="str">
        <x:v>ignore uploads, purge history และประกาศนโยบายลบข้อมูล</x:v>
      </x:c>
      <x:c r="I11" s="28"/>
    </x:row>
    <x:row r="12">
      <x:c r="A12" s="19" t="n">
        <x:v>9</x:v>
      </x:c>
      <x:c r="B12" s="16" t="str">
        <x:v>Quality</x:v>
      </x:c>
      <x:c r="C12" s="16" t="str">
        <x:v>Automated Tests</x:v>
      </x:c>
      <x:c r="D12" s="22" t="str">
        <x:v>ยังไม่เริ่ม</x:v>
      </x:c>
      <x:c r="E12" s="25" t="n">
        <x:v>0.1</x:v>
      </x:c>
      <x:c r="F12" s="16" t="str">
        <x:v>ยังไม่มี npm test suite; มีเพียง build/lint/manual checks</x:v>
      </x:c>
      <x:c r="G12" s="16" t="str">
        <x:v>ยังไม่ระบุ</x:v>
      </x:c>
      <x:c r="H12" s="16" t="str">
        <x:v>เพิ่ม unit, integration และ security regression tests</x:v>
      </x:c>
      <x:c r="I12" s="28"/>
    </x:row>
    <x:row r="13">
      <x:c r="A13" s="20" t="n">
        <x:v>10</x:v>
      </x:c>
      <x:c r="B13" s="17" t="str">
        <x:v>Documentation</x:v>
      </x:c>
      <x:c r="C13" s="17" t="str">
        <x:v>Architecture / Security Docs</x:v>
      </x:c>
      <x:c r="D13" s="23" t="str">
        <x:v>กำลังพัฒนา</x:v>
      </x:c>
      <x:c r="E13" s="26" t="n">
        <x:v>0.3</x:v>
      </x:c>
      <x:c r="F13" s="17" t="str">
        <x:v>มี code/schema แต่ยังขาด diagram, threat model และ risk documentation แบบเป็นทางการ</x:v>
      </x:c>
      <x:c r="G13" s="17" t="str">
        <x:v>ยังไม่ระบุ</x:v>
      </x:c>
      <x:c r="H13" s="17" t="str">
        <x:v>จัดทำ Architecture, Use Case, ERD, User Flow และ Threat Model</x:v>
      </x:c>
      <x:c r="I13" s="29"/>
    </x:row>
  </x:sheetData>
  <x:mergeCells>
    <x:mergeCell ref="A1:I1"/>
  </x:mergeCells>
  <x:conditionalFormatting sqref="D4:D13">
    <x:cfRule type="containsText" dxfId="4" priority="1" operator="containsText" text="เสร็จแล้ว"/>
    <x:cfRule type="containsText" dxfId="5" priority="2" operator="containsText" text="กำลังพัฒนา"/>
    <x:cfRule type="containsText" dxfId="6" priority="3" operator="containsText" text="ยังไม่เริ่ม"/>
    <x:cfRule type="containsText" dxfId="7" priority="4" operator="containsText" text="มีปัญหา"/>
  </x:conditionalFormatting>
  <x:conditionalFormatting sqref="E4:E13">
    <x:cfRule type="dataBar" priority="5">
      <x:dataBar>
        <x:cfvo type="num" val="0"/>
        <x:cfvo type="num" val="1"/>
        <x:color rgb="FF1D4ED8"/>
      </x:dataBar>
      <x:extLst>
        <x:ext xmlns:x14="http://schemas.microsoft.com/office/spreadsheetml/2009/9/main" uri="{B025F937-C7B1-47D3-B67F-A62EFF666E3E}">
          <x14:id>{2025B9BD-9A3B-5D14-889E-A004BC8830E6}</x14:id>
        </x:ext>
      </x:extLst>
    </x:cfRule>
  </x:conditionalFormatting>
  <x:dataValidations count="1">
    <x:dataValidation type="list" sqref="D4:D13">
      <x:formula1>"เสร็จแล้ว,กำลังพัฒนา,ยังไม่เริ่ม,มีปัญหา"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e39938896043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2025B9BD-9A3B-5D14-889E-A004BC8830E6}">
            <x14:dataBar gradient="1">
              <x14:cfvo type="num">
                <xm:f>0</xm:f>
              </x14:cfvo>
              <x14:cfvo type="num">
                <xm:f>1</xm:f>
              </x14:cfvo>
              <x14:fillColor rgb="FF1D4ED8"/>
            </x14:dataBar>
          </x14:cfRule>
          <xm:sqref>E4:E13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42" hidden="0" customWidth="1"/>
    <x:col min="3" max="3" width="38" hidden="0" customWidth="1"/>
    <x:col min="4" max="4" width="34" hidden="0" customWidth="1"/>
    <x:col min="5" max="5" width="18" hidden="0" customWidth="1"/>
    <x:col min="6" max="6" width="14" hidden="0" customWidth="1"/>
    <x:col min="7" max="7" width="48" hidden="0" customWidth="1"/>
  </x:cols>
  <x:sheetData>
    <x:row r="1" ht="54" customHeight="1">
      <x:c r="A1" s="4" t="str">
        <x:v>ผลการทดสอบความปลอดภัยเบื้องต้น
ผลลัพธ์สีเขียว = ผ่าน สีแดง = ไม่ผ่าน สีเทา = ยังไม่ได้ทดสอบ</x:v>
      </x:c>
      <x:c r="B1" s="4" t="str">
        <x:v>ผลการทดสอบความปลอดภัยเบื้องต้น
ผลลัพธ์สีเขียว = ผ่าน สีแดง = ไม่ผ่าน สีเทา = ยังไม่ได้ทดสอบ</x:v>
      </x:c>
      <x:c r="C1" s="4" t="str">
        <x:v>ผลการทดสอบความปลอดภัยเบื้องต้น
ผลลัพธ์สีเขียว = ผ่าน สีแดง = ไม่ผ่าน สีเทา = ยังไม่ได้ทดสอบ</x:v>
      </x:c>
      <x:c r="D1" s="4" t="str">
        <x:v>ผลการทดสอบความปลอดภัยเบื้องต้น
ผลลัพธ์สีเขียว = ผ่าน สีแดง = ไม่ผ่าน สีเทา = ยังไม่ได้ทดสอบ</x:v>
      </x:c>
      <x:c r="E1" s="4" t="str">
        <x:v>ผลการทดสอบความปลอดภัยเบื้องต้น
ผลลัพธ์สีเขียว = ผ่าน สีแดง = ไม่ผ่าน สีเทา = ยังไม่ได้ทดสอบ</x:v>
      </x:c>
      <x:c r="F1" s="4" t="str">
        <x:v>ผลการทดสอบความปลอดภัยเบื้องต้น
ผลลัพธ์สีเขียว = ผ่าน สีแดง = ไม่ผ่าน สีเทา = ยังไม่ได้ทดสอบ</x:v>
      </x:c>
      <x:c r="G1" s="4" t="str">
        <x:v>ผลการทดสอบความปลอดภัยเบื้องต้น
ผลลัพธ์สีเขียว = ผ่าน สีแดง = ไม่ผ่าน สีเทา = ยังไม่ได้ทดสอบ</x:v>
      </x:c>
    </x:row>
    <x:row r="3" ht="32" customHeight="1">
      <x:c r="A3" s="9" t="str">
        <x:v>ID</x:v>
      </x:c>
      <x:c r="B3" s="10" t="str">
        <x:v>Test Case</x:v>
      </x:c>
      <x:c r="C3" s="10" t="str">
        <x:v>ผลที่คาดหวัง</x:v>
      </x:c>
      <x:c r="D3" s="10" t="str">
        <x:v>ผลจริง</x:v>
      </x:c>
      <x:c r="E3" s="10" t="str">
        <x:v>ผลการทดสอบ</x:v>
      </x:c>
      <x:c r="F3" s="10" t="str">
        <x:v>ความรุนแรง</x:v>
      </x:c>
      <x:c r="G3" s="11" t="str">
        <x:v>หลักฐาน / หมายเหตุ</x:v>
      </x:c>
    </x:row>
    <x:row r="4">
      <x:c r="A4" s="15" t="n">
        <x:v>1</x:v>
      </x:c>
      <x:c r="B4" s="15" t="str">
        <x:v>อัปโหลด PDF ที่ถูกต้อง</x:v>
      </x:c>
      <x:c r="C4" s="15" t="str">
        <x:v>ระบบรับไฟล์</x:v>
      </x:c>
      <x:c r="D4" s="15" t="str">
        <x:v>201 Created</x:v>
      </x:c>
      <x:c r="E4" s="18" t="str">
        <x:v>ผ่าน</x:v>
      </x:c>
      <x:c r="F4" s="15" t="str">
        <x:v>ต่ำ</x:v>
      </x:c>
      <x:c r="G4" s="15" t="str">
        <x:v>Manual test</x:v>
      </x:c>
    </x:row>
    <x:row r="5">
      <x:c r="A5" s="16" t="n">
        <x:v>2</x:v>
      </x:c>
      <x:c r="B5" s="16" t="str">
        <x:v>อัปโหลดไฟล์ .exe</x:v>
      </x:c>
      <x:c r="C5" s="16" t="str">
        <x:v>ระบบปฏิเสธ</x:v>
      </x:c>
      <x:c r="D5" s="16" t="str">
        <x:v>400 Bad Request</x:v>
      </x:c>
      <x:c r="E5" s="19" t="str">
        <x:v>ผ่าน</x:v>
      </x:c>
      <x:c r="F5" s="16" t="str">
        <x:v>สูง</x:v>
      </x:c>
      <x:c r="G5" s="16" t="str">
        <x:v>ตรวจ extension/MIME</x:v>
      </x:c>
    </x:row>
    <x:row r="6">
      <x:c r="A6" s="16" t="n">
        <x:v>3</x:v>
      </x:c>
      <x:c r="B6" s="16" t="str">
        <x:v>ปลอมไฟล์ .exe เป็น .pdf</x:v>
      </x:c>
      <x:c r="C6" s="16" t="str">
        <x:v>ระบบตรวจ signature และปฏิเสธ</x:v>
      </x:c>
      <x:c r="D6" s="16" t="str">
        <x:v>400 fake signature</x:v>
      </x:c>
      <x:c r="E6" s="19" t="str">
        <x:v>ผ่าน</x:v>
      </x:c>
      <x:c r="F6" s="16" t="str">
        <x:v>สูง</x:v>
      </x:c>
      <x:c r="G6" s="16" t="str">
        <x:v>Magic bytes validation</x:v>
      </x:c>
    </x:row>
    <x:row r="7">
      <x:c r="A7" s="16" t="n">
        <x:v>4</x:v>
      </x:c>
      <x:c r="B7" s="16" t="str">
        <x:v>อัปโหลดไฟล์มากกว่า 10MB</x:v>
      </x:c>
      <x:c r="C7" s="16" t="str">
        <x:v>ระบบปฏิเสธด้วย 413</x:v>
      </x:c>
      <x:c r="D7" s="16" t="str">
        <x:v>500 Internal Server Error</x:v>
      </x:c>
      <x:c r="E7" s="19" t="str">
        <x:v>ไม่ผ่าน</x:v>
      </x:c>
      <x:c r="F7" s="16" t="str">
        <x:v>สูง</x:v>
      </x:c>
      <x:c r="G7" s="16" t="str">
        <x:v>ต้องจำกัด request body ก่อน multipart parse</x:v>
      </x:c>
    </x:row>
    <x:row r="8">
      <x:c r="A8" s="16" t="n">
        <x:v>5</x:v>
      </x:c>
      <x:c r="B8" s="16" t="str">
        <x:v>ไม่ login แล้วเรียก /api/files</x:v>
      </x:c>
      <x:c r="C8" s="16" t="str">
        <x:v>ตอบ 401</x:v>
      </x:c>
      <x:c r="D8" s="16" t="str">
        <x:v>401 Unauthorized</x:v>
      </x:c>
      <x:c r="E8" s="19" t="str">
        <x:v>ผ่าน</x:v>
      </x:c>
      <x:c r="F8" s="16" t="str">
        <x:v>สูง</x:v>
      </x:c>
      <x:c r="G8" s="16" t="str">
        <x:v>Manual test</x:v>
      </x:c>
    </x:row>
    <x:row r="9">
      <x:c r="A9" s="16" t="n">
        <x:v>6</x:v>
      </x:c>
      <x:c r="B9" s="16" t="str">
        <x:v>ไม่ login แล้วเปิด /dashboard</x:v>
      </x:c>
      <x:c r="C9" s="16" t="str">
        <x:v>redirect ไป login</x:v>
      </x:c>
      <x:c r="D9" s="16" t="str">
        <x:v>307 redirect</x:v>
      </x:c>
      <x:c r="E9" s="19" t="str">
        <x:v>ผ่าน</x:v>
      </x:c>
      <x:c r="F9" s="16" t="str">
        <x:v>กลาง</x:v>
      </x:c>
      <x:c r="G9" s="16" t="str">
        <x:v>Proxy guard</x:v>
      </x:c>
    </x:row>
    <x:row r="10">
      <x:c r="A10" s="16" t="n">
        <x:v>7</x:v>
      </x:c>
      <x:c r="B10" s="16" t="str">
        <x:v>ใส่ ' OR 1=1 -- ใน Login</x:v>
      </x:c>
      <x:c r="C10" s="16" t="str">
        <x:v>ไม่สามารถ Login ได้</x:v>
      </x:c>
      <x:c r="D10" s="16" t="str">
        <x:v>401 Unauthorized</x:v>
      </x:c>
      <x:c r="E10" s="19" t="str">
        <x:v>ผ่าน</x:v>
      </x:c>
      <x:c r="F10" s="16" t="str">
        <x:v>สูง</x:v>
      </x:c>
      <x:c r="G10" s="16" t="str">
        <x:v>Prisma/credential validation</x:v>
      </x:c>
    </x:row>
    <x:row r="11">
      <x:c r="A11" s="16" t="n">
        <x:v>8</x:v>
      </x:c>
      <x:c r="B11" s="16" t="str">
        <x:v>กรอกรหัสผ่านผิดเกิน limit</x:v>
      </x:c>
      <x:c r="C11" s="16" t="str">
        <x:v>คำขอถูกจำกัด</x:v>
      </x:c>
      <x:c r="D11" s="16" t="str">
        <x:v>ครั้งที่ 11 ได้ 429</x:v>
      </x:c>
      <x:c r="E11" s="19" t="str">
        <x:v>ผ่าน</x:v>
      </x:c>
      <x:c r="F11" s="16" t="str">
        <x:v>สูง</x:v>
      </x:c>
      <x:c r="G11" s="16" t="str">
        <x:v>แต่ bypass ด้วย spoofed IP ได้</x:v>
      </x:c>
    </x:row>
    <x:row r="12">
      <x:c r="A12" s="16" t="n">
        <x:v>9</x:v>
      </x:c>
      <x:c r="B12" s="16" t="str">
        <x:v>เปลี่ยน X-Forwarded-For หลังถูก limit</x:v>
      </x:c>
      <x:c r="C12" s="16" t="str">
        <x:v>ยังต้องถูกจำกัด</x:v>
      </x:c>
      <x:c r="D12" s="16" t="str">
        <x:v>เปลี่ยนค่าแล้วได้ 200</x:v>
      </x:c>
      <x:c r="E12" s="19" t="str">
        <x:v>ไม่ผ่าน</x:v>
      </x:c>
      <x:c r="F12" s="16" t="str">
        <x:v>สูง</x:v>
      </x:c>
      <x:c r="G12" s="16" t="str">
        <x:v>Rate limit bypass</x:v>
      </x:c>
    </x:row>
    <x:row r="13">
      <x:c r="A13" s="17" t="n">
        <x:v>10</x:v>
      </x:c>
      <x:c r="B13" s="17" t="str">
        <x:v>Admin ใช้ path traversal อ่าน package.json</x:v>
      </x:c>
      <x:c r="C13" s="17" t="str">
        <x:v>ต้องปฏิเสธ</x:v>
      </x:c>
      <x:c r="D13" s="17" t="str">
        <x:v>200 และอ่านไฟล์ได้</x:v>
      </x:c>
      <x:c r="E13" s="20" t="str">
        <x:v>ไม่ผ่าน</x:v>
      </x:c>
      <x:c r="F13" s="17" t="str">
        <x:v>วิกฤต</x:v>
      </x:c>
      <x:c r="G13" s="17" t="str">
        <x:v>/api/files/..%2Fpackage.json</x:v>
      </x:c>
    </x:row>
  </x:sheetData>
  <x:mergeCells>
    <x:mergeCell ref="A1:G1"/>
  </x:mergeCells>
  <x:conditionalFormatting sqref="E4:E13">
    <x:cfRule type="containsText" dxfId="8" priority="1" operator="containsText" text="ผ่าน"/>
    <x:cfRule type="containsText" dxfId="9" priority="2" operator="containsText" text="ไม่ผ่าน"/>
    <x:cfRule type="containsText" dxfId="10" priority="3" operator="containsText" text="ยังไม่ได้ทดสอบ"/>
  </x:conditionalFormatting>
  <x:dataValidations count="2">
    <x:dataValidation type="list" sqref="E4:E13">
      <x:formula1>"ผ่าน,ไม่ผ่าน,ยังไม่ได้ทดสอบ"</x:formula1>
    </x:dataValidation>
    <x:dataValidation type="list" sqref="F4:F13">
      <x:formula1>"ต่ำ,กลาง,สูง,วิกฤต"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546d90bf4141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4" hidden="0" customWidth="1"/>
    <x:col min="4" max="4" width="44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8" hidden="0" customWidth="1"/>
    <x:col min="10" max="10" width="52" hidden="0" customWidth="1"/>
  </x:cols>
  <x:sheetData>
    <x:row r="1" ht="54" customHeight="1">
      <x:c r="A1" s="4" t="str">
        <x:v>Threat Model &amp; Risk Register
คะแนนความเสี่ยง = Likelihood × Impact (1–5)</x:v>
      </x:c>
      <x:c r="B1" s="4" t="str">
        <x:v>Threat Model &amp; Risk Register
คะแนนความเสี่ยง = Likelihood × Impact (1–5)</x:v>
      </x:c>
      <x:c r="C1" s="4" t="str">
        <x:v>Threat Model &amp; Risk Register
คะแนนความเสี่ยง = Likelihood × Impact (1–5)</x:v>
      </x:c>
      <x:c r="D1" s="4" t="str">
        <x:v>Threat Model &amp; Risk Register
คะแนนความเสี่ยง = Likelihood × Impact (1–5)</x:v>
      </x:c>
      <x:c r="E1" s="4" t="str">
        <x:v>Threat Model &amp; Risk Register
คะแนนความเสี่ยง = Likelihood × Impact (1–5)</x:v>
      </x:c>
      <x:c r="F1" s="4" t="str">
        <x:v>Threat Model &amp; Risk Register
คะแนนความเสี่ยง = Likelihood × Impact (1–5)</x:v>
      </x:c>
      <x:c r="G1" s="4" t="str">
        <x:v>Threat Model &amp; Risk Register
คะแนนความเสี่ยง = Likelihood × Impact (1–5)</x:v>
      </x:c>
      <x:c r="H1" s="4" t="str">
        <x:v>Threat Model &amp; Risk Register
คะแนนความเสี่ยง = Likelihood × Impact (1–5)</x:v>
      </x:c>
      <x:c r="I1" s="4" t="str">
        <x:v>Threat Model &amp; Risk Register
คะแนนความเสี่ยง = Likelihood × Impact (1–5)</x:v>
      </x:c>
      <x:c r="J1" s="4" t="str">
        <x:v>Threat Model &amp; Risk Register
คะแนนความเสี่ยง = Likelihood × Impact (1–5)</x:v>
      </x:c>
    </x:row>
    <x:row r="3" ht="32" customHeight="1">
      <x:c r="A3" s="9" t="str">
        <x:v>ID</x:v>
      </x:c>
      <x:c r="B3" s="10" t="str">
        <x:v>Asset / Function</x:v>
      </x:c>
      <x:c r="C3" s="10" t="str">
        <x:v>Threat</x:v>
      </x:c>
      <x:c r="D3" s="10" t="str">
        <x:v>ช่องโหว่</x:v>
      </x:c>
      <x:c r="E3" s="10" t="str">
        <x:v>Likelihood</x:v>
      </x:c>
      <x:c r="F3" s="10" t="str">
        <x:v>Impact</x:v>
      </x:c>
      <x:c r="G3" s="10" t="str">
        <x:v>Risk Score</x:v>
      </x:c>
      <x:c r="H3" s="10" t="str">
        <x:v>ระดับ</x:v>
      </x:c>
      <x:c r="I3" s="10" t="str">
        <x:v>สถานะ</x:v>
      </x:c>
      <x:c r="J3" s="11" t="str">
        <x:v>วิธีป้องกัน / งานแก้ไข</x:v>
      </x:c>
    </x:row>
    <x:row r="4">
      <x:c r="A4" s="15" t="n">
        <x:v>1</x:v>
      </x:c>
      <x:c r="B4" s="15" t="str">
        <x:v>Login</x:v>
      </x:c>
      <x:c r="C4" s="15" t="str">
        <x:v>Account takeover</x:v>
      </x:c>
      <x:c r="D4" s="15" t="str">
        <x:v>มีบัญชี admin/admin แบบ hardcode</x:v>
      </x:c>
      <x:c r="E4" s="15" t="n">
        <x:v>5</x:v>
      </x:c>
      <x:c r="F4" s="15" t="n">
        <x:v>5</x:v>
      </x:c>
      <x:c r="G4" s="15" t="n">
        <x:f>E4*F4</x:f>
        <x:v>25</x:v>
      </x:c>
      <x:c r="H4" s="15" t="str">
        <x:f>IF(G4&gt;=20,"วิกฤต",IF(G4&gt;=12,"สูง",IF(G4&gt;=6,"กลาง","ต่ำ")))</x:f>
        <x:v>วิกฤต</x:v>
      </x:c>
      <x:c r="I4" s="21" t="str">
        <x:v>มีปัญหา</x:v>
      </x:c>
      <x:c r="J4" s="15" t="str">
        <x:v>ลบบัญชี hardcode, seed แบบสุ่ม, rotate credentials</x:v>
      </x:c>
    </x:row>
    <x:row r="5">
      <x:c r="A5" s="16" t="n">
        <x:v>2</x:v>
      </x:c>
      <x:c r="B5" s="16" t="str">
        <x:v>File API</x:v>
      </x:c>
      <x:c r="C5" s="16" t="str">
        <x:v>Path traversal</x:v>
      </x:c>
      <x:c r="D5" s="16" t="str">
        <x:v>นำ filename ไป resolve โดยไม่บังคับ UUID/ขอบเขต path</x:v>
      </x:c>
      <x:c r="E5" s="16" t="n">
        <x:v>5</x:v>
      </x:c>
      <x:c r="F5" s="16" t="n">
        <x:v>5</x:v>
      </x:c>
      <x:c r="G5" s="16" t="n">
        <x:f>E5*F5</x:f>
        <x:v>25</x:v>
      </x:c>
      <x:c r="H5" s="16" t="str">
        <x:f>IF(G5&gt;=20,"วิกฤต",IF(G5&gt;=12,"สูง",IF(G5&gt;=6,"กลาง","ต่ำ")))</x:f>
        <x:v>วิกฤต</x:v>
      </x:c>
      <x:c r="I5" s="22" t="str">
        <x:v>มีปัญหา</x:v>
      </x:c>
      <x:c r="J5" s="16" t="str">
        <x:v>validate UUID และตรวจ resolved path อยู่ใต้ upload root</x:v>
      </x:c>
    </x:row>
    <x:row r="6">
      <x:c r="A6" s="16" t="n">
        <x:v>3</x:v>
      </x:c>
      <x:c r="B6" s="16" t="str">
        <x:v>Uploaded documents</x:v>
      </x:c>
      <x:c r="C6" s="16" t="str">
        <x:v>Privacy leak</x:v>
      </x:c>
      <x:c r="D6" s="16" t="str">
        <x:v>ไฟล์ผู้ใช้ถูกติดตามใน Git</x:v>
      </x:c>
      <x:c r="E6" s="16" t="n">
        <x:v>4</x:v>
      </x:c>
      <x:c r="F6" s="16" t="n">
        <x:v>5</x:v>
      </x:c>
      <x:c r="G6" s="16" t="n">
        <x:f>E6*F6</x:f>
        <x:v>20</x:v>
      </x:c>
      <x:c r="H6" s="16" t="str">
        <x:f>IF(G6&gt;=20,"วิกฤต",IF(G6&gt;=12,"สูง",IF(G6&gt;=6,"กลาง","ต่ำ")))</x:f>
        <x:v>วิกฤต</x:v>
      </x:c>
      <x:c r="I6" s="22" t="str">
        <x:v>มีปัญหา</x:v>
      </x:c>
      <x:c r="J6" s="16" t="str">
        <x:v>เพิ่ม /uploads ใน .gitignore และ purge Git history</x:v>
      </x:c>
    </x:row>
    <x:row r="7">
      <x:c r="A7" s="16" t="n">
        <x:v>4</x:v>
      </x:c>
      <x:c r="B7" s="16" t="str">
        <x:v>Delete document</x:v>
      </x:c>
      <x:c r="C7" s="16" t="str">
        <x:v>Retention violation</x:v>
      </x:c>
      <x:c r="D7" s="16" t="str">
        <x:v>ลบ DB แต่ไม่ลบ physical file</x:v>
      </x:c>
      <x:c r="E7" s="16" t="n">
        <x:v>4</x:v>
      </x:c>
      <x:c r="F7" s="16" t="n">
        <x:v>4</x:v>
      </x:c>
      <x:c r="G7" s="16" t="n">
        <x:f>E7*F7</x:f>
        <x:v>16</x:v>
      </x:c>
      <x:c r="H7" s="16" t="str">
        <x:f>IF(G7&gt;=20,"วิกฤต",IF(G7&gt;=12,"สูง",IF(G7&gt;=6,"กลาง","ต่ำ")))</x:f>
        <x:v>สูง</x:v>
      </x:c>
      <x:c r="I7" s="22" t="str">
        <x:v>กำลังพัฒนา</x:v>
      </x:c>
      <x:c r="J7" s="16" t="str">
        <x:v>ลบไฟล์แบบ atomic และกำหนด retention/deletion policy</x:v>
      </x:c>
    </x:row>
    <x:row r="8">
      <x:c r="A8" s="16" t="n">
        <x:v>5</x:v>
      </x:c>
      <x:c r="B8" s="16" t="str">
        <x:v>Rate limiting</x:v>
      </x:c>
      <x:c r="C8" s="16" t="str">
        <x:v>Abuse / cost exhaustion</x:v>
      </x:c>
      <x:c r="D8" s="16" t="str">
        <x:v>เชื่อ X-Forwarded-For และเก็บ counter ใน memory</x:v>
      </x:c>
      <x:c r="E8" s="16" t="n">
        <x:v>4</x:v>
      </x:c>
      <x:c r="F8" s="16" t="n">
        <x:v>4</x:v>
      </x:c>
      <x:c r="G8" s="16" t="n">
        <x:f>E8*F8</x:f>
        <x:v>16</x:v>
      </x:c>
      <x:c r="H8" s="16" t="str">
        <x:f>IF(G8&gt;=20,"วิกฤต",IF(G8&gt;=12,"สูง",IF(G8&gt;=6,"กลาง","ต่ำ")))</x:f>
        <x:v>สูง</x:v>
      </x:c>
      <x:c r="I8" s="22" t="str">
        <x:v>กำลังพัฒนา</x:v>
      </x:c>
      <x:c r="J8" s="16" t="str">
        <x:v>trusted proxy, Redis limiter, per-user/provider budget</x:v>
      </x:c>
    </x:row>
    <x:row r="9">
      <x:c r="A9" s="16" t="n">
        <x:v>6</x:v>
      </x:c>
      <x:c r="B9" s="16" t="str">
        <x:v>Upload</x:v>
      </x:c>
      <x:c r="C9" s="16" t="str">
        <x:v>Denial of service</x:v>
      </x:c>
      <x:c r="D9" s="16" t="str">
        <x:v>parse multipart ก่อน reject ขนาด</x:v>
      </x:c>
      <x:c r="E9" s="16" t="n">
        <x:v>3</x:v>
      </x:c>
      <x:c r="F9" s="16" t="n">
        <x:v>4</x:v>
      </x:c>
      <x:c r="G9" s="16" t="n">
        <x:f>E9*F9</x:f>
        <x:v>12</x:v>
      </x:c>
      <x:c r="H9" s="16" t="str">
        <x:f>IF(G9&gt;=20,"วิกฤต",IF(G9&gt;=12,"สูง",IF(G9&gt;=6,"กลาง","ต่ำ")))</x:f>
        <x:v>สูง</x:v>
      </x:c>
      <x:c r="I9" s="22" t="str">
        <x:v>กำลังพัฒนา</x:v>
      </x:c>
      <x:c r="J9" s="16" t="str">
        <x:v>body size limit, streaming parser, ตอบ 413</x:v>
      </x:c>
    </x:row>
    <x:row r="10">
      <x:c r="A10" s="16" t="n">
        <x:v>7</x:v>
      </x:c>
      <x:c r="B10" s="16" t="str">
        <x:v>AI prompt</x:v>
      </x:c>
      <x:c r="C10" s="16" t="str">
        <x:v>Prompt injection</x:v>
      </x:c>
      <x:c r="D10" s="16" t="str">
        <x:v>เอกสาร/คำถามอาจสั่ง AI ข้ามข้อกำหนด</x:v>
      </x:c>
      <x:c r="E10" s="16" t="n">
        <x:v>3</x:v>
      </x:c>
      <x:c r="F10" s="16" t="n">
        <x:v>4</x:v>
      </x:c>
      <x:c r="G10" s="16" t="n">
        <x:f>E10*F10</x:f>
        <x:v>12</x:v>
      </x:c>
      <x:c r="H10" s="16" t="str">
        <x:f>IF(G10&gt;=20,"วิกฤต",IF(G10&gt;=12,"สูง",IF(G10&gt;=6,"กลาง","ต่ำ")))</x:f>
        <x:v>สูง</x:v>
      </x:c>
      <x:c r="I10" s="22" t="str">
        <x:v>กำลังพัฒนา</x:v>
      </x:c>
      <x:c r="J10" s="16" t="str">
        <x:v>แยก system/data, limit tools, grounding และ output validation</x:v>
      </x:c>
    </x:row>
    <x:row r="11">
      <x:c r="A11" s="17" t="n">
        <x:v>8</x:v>
      </x:c>
      <x:c r="B11" s="17" t="str">
        <x:v>Frontend dependencies</x:v>
      </x:c>
      <x:c r="C11" s="17" t="str">
        <x:v>XSS / known CVE</x:v>
      </x:c>
      <x:c r="D11" s="17" t="str">
        <x:v>Mermaid securityLevel loose และ dependency audit มีช่องโหว่</x:v>
      </x:c>
      <x:c r="E11" s="17" t="n">
        <x:v>3</x:v>
      </x:c>
      <x:c r="F11" s="17" t="n">
        <x:v>4</x:v>
      </x:c>
      <x:c r="G11" s="17" t="n">
        <x:f>E11*F11</x:f>
        <x:v>12</x:v>
      </x:c>
      <x:c r="H11" s="17" t="str">
        <x:f>IF(G11&gt;=20,"วิกฤต",IF(G11&gt;=12,"สูง",IF(G11&gt;=6,"กลาง","ต่ำ")))</x:f>
        <x:v>สูง</x:v>
      </x:c>
      <x:c r="I11" s="23" t="str">
        <x:v>มีปัญหา</x:v>
      </x:c>
      <x:c r="J11" s="17" t="str">
        <x:v>ใช้ strict/sanitize และอัปเดต dependencies</x:v>
      </x:c>
    </x:row>
  </x:sheetData>
  <x:mergeCells>
    <x:mergeCell ref="A1:J1"/>
  </x:mergeCells>
  <x:conditionalFormatting sqref="I4:I11">
    <x:cfRule type="containsText" dxfId="11" priority="1" operator="containsText" text="เสร็จแล้ว"/>
    <x:cfRule type="containsText" dxfId="12" priority="2" operator="containsText" text="กำลังพัฒนา"/>
    <x:cfRule type="containsText" dxfId="13" priority="3" operator="containsText" text="ยังไม่เริ่ม"/>
    <x:cfRule type="containsText" dxfId="14" priority="4" operator="containsText" text="มีปัญหา"/>
  </x:conditionalFormatting>
  <x:conditionalFormatting sqref="G4:G11">
    <x:cfRule type="colorScale" priority="5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dataValidations count="2">
    <x:dataValidation type="list" sqref="I4:I11">
      <x:formula1>"เสร็จแล้ว,กำลังพัฒนา,ยังไม่เริ่ม,มีปัญหา"</x:formula1>
    </x:dataValidation>
    <x:dataValidation type="whole" operator="between" sqref="E4:F11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e77f74e041742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46" hidden="0" customWidth="1"/>
    <x:col min="5" max="5" width="46" hidden="0" customWidth="1"/>
    <x:col min="6" max="6" width="46" hidden="0" customWidth="1"/>
  </x:cols>
  <x:sheetData>
    <x:row r="1" ht="54" customHeight="1">
      <x:c r="A1" s="4" t="str">
        <x:v>Secure SDLC Coverage
สรุปหลักฐานที่มีและสิ่งที่ยังต้องทำก่อนส่งงาน</x:v>
      </x:c>
      <x:c r="B1" s="4" t="str">
        <x:v>Secure SDLC Coverage
สรุปหลักฐานที่มีและสิ่งที่ยังต้องทำก่อนส่งงาน</x:v>
      </x:c>
      <x:c r="C1" s="4" t="str">
        <x:v>Secure SDLC Coverage
สรุปหลักฐานที่มีและสิ่งที่ยังต้องทำก่อนส่งงาน</x:v>
      </x:c>
      <x:c r="D1" s="4" t="str">
        <x:v>Secure SDLC Coverage
สรุปหลักฐานที่มีและสิ่งที่ยังต้องทำก่อนส่งงาน</x:v>
      </x:c>
      <x:c r="E1" s="4" t="str">
        <x:v>Secure SDLC Coverage
สรุปหลักฐานที่มีและสิ่งที่ยังต้องทำก่อนส่งงาน</x:v>
      </x:c>
      <x:c r="F1" s="4" t="str">
        <x:v>Secure SDLC Coverage
สรุปหลักฐานที่มีและสิ่งที่ยังต้องทำก่อนส่งงาน</x:v>
      </x:c>
    </x:row>
    <x:row r="3" ht="32" customHeight="1">
      <x:c r="A3" s="9" t="str">
        <x:v>ขั้นตอน</x:v>
      </x:c>
      <x:c r="B3" s="10" t="str">
        <x:v>สถานะ</x:v>
      </x:c>
      <x:c r="C3" s="10" t="str">
        <x:v>ความก้าวหน้า</x:v>
      </x:c>
      <x:c r="D3" s="10" t="str">
        <x:v>หลักฐานที่มี</x:v>
      </x:c>
      <x:c r="E3" s="10" t="str">
        <x:v>ช่องว่าง</x:v>
      </x:c>
      <x:c r="F3" s="11" t="str">
        <x:v>งานถัดไป</x:v>
      </x:c>
    </x:row>
    <x:row r="4">
      <x:c r="A4" s="15" t="str">
        <x:v>Requirement</x:v>
      </x:c>
      <x:c r="B4" s="21" t="str">
        <x:v>กำลังพัฒนา</x:v>
      </x:c>
      <x:c r="C4" s="24" t="n">
        <x:v>0.4</x:v>
      </x:c>
      <x:c r="D4" s="15" t="str">
        <x:v>ข้อกำหนดฟังก์ชันอนุมานได้จากระบบ</x:v>
      </x:c>
      <x:c r="E4" s="15" t="str">
        <x:v>ไม่มี Security/Privacy requirement แบบเป็นทางการ</x:v>
      </x:c>
      <x:c r="F4" s="15" t="str">
        <x:v>เขียน security requirements และ acceptance criteria</x:v>
      </x:c>
    </x:row>
    <x:row r="5">
      <x:c r="A5" s="16" t="str">
        <x:v>Design</x:v>
      </x:c>
      <x:c r="B5" s="22" t="str">
        <x:v>กำลังพัฒนา</x:v>
      </x:c>
      <x:c r="C5" s="25" t="n">
        <x:v>0.45</x:v>
      </x:c>
      <x:c r="D5" s="16" t="str">
        <x:v>มี auth, ownership และ RBAC บางส่วน</x:v>
      </x:c>
      <x:c r="E5" s="16" t="str">
        <x:v>ขาด trust boundary, threat model และ diagram</x:v>
      </x:c>
      <x:c r="F5" s="16" t="str">
        <x:v>ทำ architecture/use case/ERD/user flow + STRIDE</x:v>
      </x:c>
    </x:row>
    <x:row r="6">
      <x:c r="A6" s="16" t="str">
        <x:v>Development</x:v>
      </x:c>
      <x:c r="B6" s="22" t="str">
        <x:v>กำลังพัฒนา</x:v>
      </x:c>
      <x:c r="C6" s="25" t="n">
        <x:v>0.65</x:v>
      </x:c>
      <x:c r="D6" s="16" t="str">
        <x:v>bcrypt, Prisma, .env, upload validation</x:v>
      </x:c>
      <x:c r="E6" s="16" t="str">
        <x:v>hardcoded admin, traversal, rate limit bypass</x:v>
      </x:c>
      <x:c r="F6" s="16" t="str">
        <x:v>แก้ critical/high findings และ code review</x:v>
      </x:c>
    </x:row>
    <x:row r="7">
      <x:c r="A7" s="16" t="str">
        <x:v>Testing</x:v>
      </x:c>
      <x:c r="B7" s="22" t="str">
        <x:v>กำลังพัฒนา</x:v>
      </x:c>
      <x:c r="C7" s="25" t="n">
        <x:v>0.35</x:v>
      </x:c>
      <x:c r="D7" s="16" t="str">
        <x:v>มี build/lint/manual security tests</x:v>
      </x:c>
      <x:c r="E7" s="16" t="str">
        <x:v>ไม่มี automated security tests</x:v>
      </x:c>
      <x:c r="F7" s="16" t="str">
        <x:v>เพิ่ม unit/integration/regression และ dependency scanning</x:v>
      </x:c>
    </x:row>
    <x:row r="8">
      <x:c r="A8" s="16" t="str">
        <x:v>Deployment</x:v>
      </x:c>
      <x:c r="B8" s="22" t="str">
        <x:v>กำลังพัฒนา</x:v>
      </x:c>
      <x:c r="C8" s="25" t="n">
        <x:v>0.55</x:v>
      </x:c>
      <x:c r="D8" s="16" t="str">
        <x:v>Docker, non-root, env และ security headers บางส่วน</x:v>
      </x:c>
      <x:c r="E8" s="16" t="str">
        <x:v>weak default secrets และเปิด DB/Redis ports</x:v>
      </x:c>
      <x:c r="F8" s="16" t="str">
        <x:v>harden compose, secret management, HTTPS</x:v>
      </x:c>
    </x:row>
    <x:row r="9">
      <x:c r="A9" s="17" t="str">
        <x:v>Maintenance</x:v>
      </x:c>
      <x:c r="B9" s="23" t="str">
        <x:v>ยังไม่เริ่ม</x:v>
      </x:c>
      <x:c r="C9" s="26" t="n">
        <x:v>0.2</x:v>
      </x:c>
      <x:c r="D9" s="17" t="str">
        <x:v>มี login/access logs</x:v>
      </x:c>
      <x:c r="E9" s="17" t="str">
        <x:v>ไม่มี monitoring, alert, patch/incident process</x:v>
      </x:c>
      <x:c r="F9" s="17" t="str">
        <x:v>กำหนด log retention, alerts, patch cadence, IR playbook</x:v>
      </x:c>
    </x:row>
  </x:sheetData>
  <x:mergeCells>
    <x:mergeCell ref="A1:F1"/>
  </x:mergeCells>
  <x:conditionalFormatting sqref="B4:B9">
    <x:cfRule type="containsText" dxfId="15" priority="1" operator="containsText" text="เสร็จแล้ว"/>
    <x:cfRule type="containsText" dxfId="16" priority="2" operator="containsText" text="กำลังพัฒนา"/>
    <x:cfRule type="containsText" dxfId="17" priority="3" operator="containsText" text="ยังไม่เริ่ม"/>
    <x:cfRule type="containsText" dxfId="18" priority="4" operator="containsText" text="มีปัญหา"/>
  </x:conditionalFormatting>
  <x:conditionalFormatting sqref="C4:C9">
    <x:cfRule type="dataBar" priority="5">
      <x:dataBar>
        <x:cfvo type="num" val="0"/>
        <x:cfvo type="num" val="1"/>
        <x:color rgb="FF1D4ED8"/>
      </x:dataBar>
      <x:extLst>
        <x:ext xmlns:x14="http://schemas.microsoft.com/office/spreadsheetml/2009/9/main" uri="{B025F937-C7B1-47D3-B67F-A62EFF666E3E}">
          <x14:id>{5628380F-7DE5-352E-11B5-62243466DD77}</x14:id>
        </x:ext>
      </x:extLst>
    </x:cfRule>
  </x:conditionalFormatting>
  <x:dataValidations count="1">
    <x:dataValidation type="list" sqref="B4:B9">
      <x:formula1>"เสร็จแล้ว,กำลังพัฒนา,ยังไม่เริ่ม,มีปัญหา"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381b40cb244b4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5628380F-7DE5-352E-11B5-62243466DD77}">
            <x14:dataBar gradient="1">
              <x14:cfvo type="num">
                <xm:f>0</xm:f>
              </x14:cfvo>
              <x14:cfvo type="num">
                <xm:f>1</xm:f>
              </x14:cfvo>
              <x14:fillColor rgb="FF1D4ED8"/>
            </x14:dataBar>
          </x14:cfRule>
          <xm:sqref>C4:C9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8" hidden="0" customWidth="1"/>
    <x:col min="4" max="4" width="36" hidden="0" customWidth="1"/>
    <x:col min="5" max="5" width="50" hidden="0" customWidth="1"/>
    <x:col min="6" max="6" width="46" hidden="0" customWidth="1"/>
  </x:cols>
  <x:sheetData>
    <x:row r="1" ht="54" customHeight="1">
      <x:c r="A1" s="4" t="str">
        <x:v>Architecture, Database &amp; API Evidence
รายการหลักฐานสำหรับรายงานวิเคราะห์และออกแบบระบบ</x:v>
      </x:c>
      <x:c r="B1" s="4" t="str">
        <x:v>Architecture, Database &amp; API Evidence
รายการหลักฐานสำหรับรายงานวิเคราะห์และออกแบบระบบ</x:v>
      </x:c>
      <x:c r="C1" s="4" t="str">
        <x:v>Architecture, Database &amp; API Evidence
รายการหลักฐานสำหรับรายงานวิเคราะห์และออกแบบระบบ</x:v>
      </x:c>
      <x:c r="D1" s="4" t="str">
        <x:v>Architecture, Database &amp; API Evidence
รายการหลักฐานสำหรับรายงานวิเคราะห์และออกแบบระบบ</x:v>
      </x:c>
      <x:c r="E1" s="4" t="str">
        <x:v>Architecture, Database &amp; API Evidence
รายการหลักฐานสำหรับรายงานวิเคราะห์และออกแบบระบบ</x:v>
      </x:c>
      <x:c r="F1" s="4" t="str">
        <x:v>Architecture, Database &amp; API Evidence
รายการหลักฐานสำหรับรายงานวิเคราะห์และออกแบบระบบ</x:v>
      </x:c>
    </x:row>
    <x:row r="3" ht="32" customHeight="1">
      <x:c r="A3" s="9" t="str">
        <x:v>หลักฐาน</x:v>
      </x:c>
      <x:c r="B3" s="10" t="str">
        <x:v>สถานะ</x:v>
      </x:c>
      <x:c r="C3" s="10" t="str">
        <x:v>สิ่งที่มี</x:v>
      </x:c>
      <x:c r="D3" s="10" t="str">
        <x:v>สิ่งที่ขาด</x:v>
      </x:c>
      <x:c r="E3" s="10" t="str">
        <x:v>ไฟล์ / Endpoint อ้างอิง</x:v>
      </x:c>
      <x:c r="F3" s="11" t="str">
        <x:v>งานถัดไป</x:v>
      </x:c>
    </x:row>
    <x:row r="4">
      <x:c r="A4" s="15" t="str">
        <x:v>System Architecture</x:v>
      </x:c>
      <x:c r="B4" s="21" t="str">
        <x:v>กำลังพัฒนา</x:v>
      </x:c>
      <x:c r="C4" s="15" t="str">
        <x:v>โครงสร้าง Browser → Next.js UI/Routes → PostgreSQL/Prisma + uploads + AI APIs</x:v>
      </x:c>
      <x:c r="D4" s="15" t="str">
        <x:v>ยังไม่มี diagram เป็นทางการ</x:v>
      </x:c>
      <x:c r="E4" s="15" t="str">
        <x:v>src/app, src/lib, prisma/schema.prisma</x:v>
      </x:c>
      <x:c r="F4" s="15" t="str">
        <x:v>วาด architecture และ trust boundary</x:v>
      </x:c>
    </x:row>
    <x:row r="5">
      <x:c r="A5" s="16" t="str">
        <x:v>Use Case Diagram</x:v>
      </x:c>
      <x:c r="B5" s="22" t="str">
        <x:v>ยังไม่เริ่ม</x:v>
      </x:c>
      <x:c r="C5" s="16" t="str">
        <x:v>มี user flows ใน code</x:v>
      </x:c>
      <x:c r="D5" s="16" t="str">
        <x:v>ไม่มี diagram</x:v>
      </x:c>
      <x:c r="E5" s="16" t="str">
        <x:v>Dashboard/Auth/API routes</x:v>
      </x:c>
      <x:c r="F5" s="16" t="str">
        <x:v>ทำ Actor: User/Admin/AI Provider</x:v>
      </x:c>
    </x:row>
    <x:row r="6">
      <x:c r="A6" s="16" t="str">
        <x:v>ER Diagram</x:v>
      </x:c>
      <x:c r="B6" s="22" t="str">
        <x:v>กำลังพัฒนา</x:v>
      </x:c>
      <x:c r="C6" s="16" t="str">
        <x:v>มี Prisma schema</x:v>
      </x:c>
      <x:c r="D6" s="16" t="str">
        <x:v>ไม่มี ERD image</x:v>
      </x:c>
      <x:c r="E6" s="16" t="str">
        <x:v>prisma/schema.prisma</x:v>
      </x:c>
      <x:c r="F6" s="16" t="str">
        <x:v>สร้าง ERD พร้อม cardinality</x:v>
      </x:c>
    </x:row>
    <x:row r="7">
      <x:c r="A7" s="16" t="str">
        <x:v>ตาราง DB PK/FK</x:v>
      </x:c>
      <x:c r="B7" s="22" t="str">
        <x:v>กำลังพัฒนา</x:v>
      </x:c>
      <x:c r="C7" s="16" t="str">
        <x:v>มี models และ relations</x:v>
      </x:c>
      <x:c r="D7" s="16" t="str">
        <x:v>ยังไม่มีตารางสรุปในรายงาน</x:v>
      </x:c>
      <x:c r="E7" s="16" t="str">
        <x:v>User/Account/Session/Document/Message/LearningTool</x:v>
      </x:c>
      <x:c r="F7" s="16" t="str">
        <x:v>จัดทำ data dictionary</x:v>
      </x:c>
    </x:row>
    <x:row r="8">
      <x:c r="A8" s="16" t="str">
        <x:v>API Endpoint</x:v>
      </x:c>
      <x:c r="B8" s="22" t="str">
        <x:v>เสร็จแล้ว</x:v>
      </x:c>
      <x:c r="C8" s="16" t="str">
        <x:v>มี endpoints สำคัญและ access checks</x:v>
      </x:c>
      <x:c r="D8" s="16" t="str">
        <x:v>ยังต้องจัดรูปแบบเอกสาร</x:v>
      </x:c>
      <x:c r="E8" s="16" t="str">
        <x:v>/api/auth, /api/upload, /api/files, /api/ai, /api/tools</x:v>
      </x:c>
      <x:c r="F8" s="16" t="str">
        <x:v>แนบตารางด้านล่างในรายงาน</x:v>
      </x:c>
    </x:row>
    <x:row r="9">
      <x:c r="A9" s="16" t="str">
        <x:v>User Flow</x:v>
      </x:c>
      <x:c r="B9" s="22" t="str">
        <x:v>กำลังพัฒนา</x:v>
      </x:c>
      <x:c r="C9" s="16" t="str">
        <x:v>Login → Upload → Analyze → Learn tools</x:v>
      </x:c>
      <x:c r="D9" s="16" t="str">
        <x:v>ไม่มี flow diagram</x:v>
      </x:c>
      <x:c r="E9" s="16" t="str">
        <x:v>src/app/dashboard</x:v>
      </x:c>
      <x:c r="F9" s="16" t="str">
        <x:v>วาด happy/error paths</x:v>
      </x:c>
    </x:row>
    <x:row r="10">
      <x:c r="A10" s="16" t="str">
        <x:v>Wireframe / หน้าจอจริง</x:v>
      </x:c>
      <x:c r="B10" s="22" t="str">
        <x:v>เสร็จแล้ว</x:v>
      </x:c>
      <x:c r="C10" s="16" t="str">
        <x:v>มีหน้าจอจริง</x:v>
      </x:c>
      <x:c r="D10" s="16" t="str">
        <x:v>ต้องเลือกภาพประกอบรายงาน</x:v>
      </x:c>
      <x:c r="E10" s="16" t="str">
        <x:v>Dashboard/Login/Upload/Chat</x:v>
      </x:c>
      <x:c r="F10" s="16" t="str">
        <x:v>capture 4–6 หน้าจอ</x:v>
      </x:c>
    </x:row>
    <x:row r="11">
      <x:c r="A11" s="17" t="str">
        <x:v>Front/Back/DB/External split</x:v>
      </x:c>
      <x:c r="B11" s="23" t="str">
        <x:v>เสร็จแล้ว</x:v>
      </x:c>
      <x:c r="C11" s="17" t="str">
        <x:v>แยก Next.js UI, Route Handlers, Prisma/Postgres, AI Providers</x:v>
      </x:c>
      <x:c r="D11" s="17" t="str">
        <x:v>ควรระบุ data flow/privacy</x:v>
      </x:c>
      <x:c r="E11" s="17" t="str">
        <x:v>src/app, src/lib, prisma</x:v>
      </x:c>
      <x:c r="F11" s="17" t="str">
        <x:v>เพิ่ม data-flow arrows และ secret boundary</x:v>
      </x:c>
    </x:row>
    <x:row r="13" ht="32" customHeight="1">
      <x:c r="A13" s="9" t="str">
        <x:v>Method</x:v>
      </x:c>
      <x:c r="B13" s="10" t="str">
        <x:v>Endpoint</x:v>
      </x:c>
      <x:c r="C13" s="10" t="str">
        <x:v>หน้าที่</x:v>
      </x:c>
      <x:c r="D13" s="10" t="str">
        <x:v>ผู้ที่เข้าถึงได้</x:v>
      </x:c>
      <x:c r="E13" s="11" t="str">
        <x:v>หมายเหตุด้านความปลอดภัย</x:v>
      </x:c>
    </x:row>
    <x:row r="14">
      <x:c r="A14" s="15" t="str">
        <x:v>POST</x:v>
      </x:c>
      <x:c r="B14" s="15" t="str">
        <x:v>/api/auth/register</x:v>
      </x:c>
      <x:c r="C14" s="15" t="str">
        <x:v>สมัครสมาชิก</x:v>
      </x:c>
      <x:c r="D14" s="15" t="str">
        <x:v>ทุกคน</x:v>
      </x:c>
      <x:c r="E14" s="15" t="str">
        <x:v>validate + bcrypt</x:v>
      </x:c>
    </x:row>
    <x:row r="15">
      <x:c r="A15" s="16" t="str">
        <x:v>POST</x:v>
      </x:c>
      <x:c r="B15" s="16" t="str">
        <x:v>/api/auth/callback/credentials</x:v>
      </x:c>
      <x:c r="C15" s="16" t="str">
        <x:v>เข้าสู่ระบบ</x:v>
      </x:c>
      <x:c r="D15" s="16" t="str">
        <x:v>ทุกคน</x:v>
      </x:c>
      <x:c r="E15" s="16" t="str">
        <x:v>lockout/rate limit; ต้องลบ admin hardcode</x:v>
      </x:c>
    </x:row>
    <x:row r="16">
      <x:c r="A16" s="16" t="str">
        <x:v>POST</x:v>
      </x:c>
      <x:c r="B16" s="16" t="str">
        <x:v>/api/upload</x:v>
      </x:c>
      <x:c r="C16" s="16" t="str">
        <x:v>อัปโหลด PDF</x:v>
      </x:c>
      <x:c r="D16" s="16" t="str">
        <x:v>ผู้ใช้ที่ login</x:v>
      </x:c>
      <x:c r="E16" s="16" t="str">
        <x:v>MIME/ext/magic/size/UUID</x:v>
      </x:c>
    </x:row>
    <x:row r="17">
      <x:c r="A17" s="16" t="str">
        <x:v>GET</x:v>
      </x:c>
      <x:c r="B17" s="16" t="str">
        <x:v>/api/files</x:v>
      </x:c>
      <x:c r="C17" s="16" t="str">
        <x:v>รายการเอกสาร</x:v>
      </x:c>
      <x:c r="D17" s="16" t="str">
        <x:v>ผู้ใช้ที่ login</x:v>
      </x:c>
      <x:c r="E17" s="16" t="str">
        <x:v>กรองตาม user</x:v>
      </x:c>
    </x:row>
    <x:row r="18">
      <x:c r="A18" s="16" t="str">
        <x:v>GET/PATCH/DELETE</x:v>
      </x:c>
      <x:c r="B18" s="16" t="str">
        <x:v>/api/files/[filename]</x:v>
      </x:c>
      <x:c r="C18" s="16" t="str">
        <x:v>ดู แก้ชื่อ ลบเอกสาร</x:v>
      </x:c>
      <x:c r="D18" s="16" t="str">
        <x:v>เจ้าของ/Admin</x:v>
      </x:c>
      <x:c r="E18" s="16" t="str">
        <x:v>ต้องแก้ path traversal และลบไฟล์จริง</x:v>
      </x:c>
    </x:row>
    <x:row r="19">
      <x:c r="A19" s="16" t="str">
        <x:v>POST</x:v>
      </x:c>
      <x:c r="B19" s="16" t="str">
        <x:v>/api/ai</x:v>
      </x:c>
      <x:c r="C19" s="16" t="str">
        <x:v>AI chat แบบ streaming</x:v>
      </x:c>
      <x:c r="D19" s="16" t="str">
        <x:v>เจ้าของเอกสาร</x:v>
      </x:c>
      <x:c r="E19" s="16" t="str">
        <x:v>API key อยู่ server-side</x:v>
      </x:c>
    </x:row>
    <x:row r="20">
      <x:c r="A20" s="16" t="str">
        <x:v>POST</x:v>
      </x:c>
      <x:c r="B20" s="16" t="str">
        <x:v>/api/tools</x:v>
      </x:c>
      <x:c r="C20" s="16" t="str">
        <x:v>สร้าง Summary/Quiz/Flashcard/Schedule</x:v>
      </x:c>
      <x:c r="D20" s="16" t="str">
        <x:v>เจ้าของเอกสาร</x:v>
      </x:c>
      <x:c r="E20" s="16" t="str">
        <x:v>ควรจำกัด prompt/cost</x:v>
      </x:c>
    </x:row>
    <x:row r="21">
      <x:c r="A21" s="16" t="str">
        <x:v>GET</x:v>
      </x:c>
      <x:c r="B21" s="16" t="str">
        <x:v>/api/messages</x:v>
      </x:c>
      <x:c r="C21" s="16" t="str">
        <x:v>ดูประวัติสนทนา</x:v>
      </x:c>
      <x:c r="D21" s="16" t="str">
        <x:v>ผู้ใช้ที่ login</x:v>
      </x:c>
      <x:c r="E21" s="16" t="str">
        <x:v>กรองตาม user</x:v>
      </x:c>
    </x:row>
    <x:row r="22">
      <x:c r="A22" s="16" t="str">
        <x:v>GET</x:v>
      </x:c>
      <x:c r="B22" s="16" t="str">
        <x:v>/api/ai/providers</x:v>
      </x:c>
      <x:c r="C22" s="16" t="str">
        <x:v>รายการโมเดล</x:v>
      </x:c>
      <x:c r="D22" s="16" t="str">
        <x:v>ผู้ใช้ที่ login</x:v>
      </x:c>
      <x:c r="E22" s="16" t="str">
        <x:v>ไม่ส่ง API key กลับ client</x:v>
      </x:c>
    </x:row>
    <x:row r="23">
      <x:c r="A23" s="17" t="str">
        <x:v>POST</x:v>
      </x:c>
      <x:c r="B23" s="17" t="str">
        <x:v>/api/contact</x:v>
      </x:c>
      <x:c r="C23" s="17" t="str">
        <x:v>ส่งข้อความติดต่อ</x:v>
      </x:c>
      <x:c r="D23" s="17" t="str">
        <x:v>ทุกคน</x:v>
      </x:c>
      <x:c r="E23" s="17" t="str">
        <x:v>ควรมี anti-spam/rate limit</x:v>
      </x:c>
    </x:row>
  </x:sheetData>
  <x:mergeCells>
    <x:mergeCell ref="A1:F1"/>
  </x:mergeCells>
  <x:conditionalFormatting sqref="B4:B11">
    <x:cfRule type="containsText" dxfId="19" priority="1" operator="containsText" text="เสร็จแล้ว"/>
    <x:cfRule type="containsText" dxfId="20" priority="2" operator="containsText" text="กำลังพัฒนา"/>
    <x:cfRule type="containsText" dxfId="21" priority="3" operator="containsText" text="ยังไม่เริ่ม"/>
    <x:cfRule type="containsText" dxfId="22" priority="4" operator="containsText" text="มีปัญหา"/>
  </x:conditionalFormatting>
  <x:dataValidations count="1">
    <x:dataValidation type="list" sqref="B4:B11">
      <x:formula1>"เสร็จแล้ว,กำลังพัฒนา,ยังไม่เริ่ม,มีปัญหา"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38" hidden="0" customWidth="1"/>
  </x:cols>
  <x:sheetData>
    <x:row r="1" ht="54" customHeight="1">
      <x:c r="A1" s="4" t="str">
        <x:v>ตัวเลือกและคำอธิบายสี
แก้ไขสถานะในชีตงานผ่านเมนู Dropdown</x:v>
      </x:c>
      <x:c r="B1" s="4" t="str">
        <x:v>ตัวเลือกและคำอธิบายสี
แก้ไขสถานะในชีตงานผ่านเมนู Dropdown</x:v>
      </x:c>
      <x:c r="C1" s="4" t="str">
        <x:v>ตัวเลือกและคำอธิบายสี
แก้ไขสถานะในชีตงานผ่านเมนู Dropdown</x:v>
      </x:c>
      <x:c r="D1" s="4" t="str">
        <x:v>ตัวเลือกและคำอธิบายสี
แก้ไขสถานะในชีตงานผ่านเมนู Dropdown</x:v>
      </x:c>
    </x:row>
    <x:row r="3" ht="32" customHeight="1">
      <x:c r="A3" s="9" t="str">
        <x:v>สถานะ</x:v>
      </x:c>
      <x:c r="B3" s="10" t="str">
        <x:v>ความหมาย</x:v>
      </x:c>
      <x:c r="C3" s="10" t="str">
        <x:v>สี</x:v>
      </x:c>
      <x:c r="D3" s="11" t="str">
        <x:v>คำแนะนำ</x:v>
      </x:c>
    </x:row>
    <x:row r="4">
      <x:c r="A4" s="21" t="str">
        <x:v>เสร็จแล้ว</x:v>
      </x:c>
      <x:c r="B4" s="15" t="str">
        <x:v>พัฒนาและทดสอบเบื้องต้นแล้ว</x:v>
      </x:c>
      <x:c r="C4" s="15" t="str">
        <x:v>เขียว</x:v>
      </x:c>
      <x:c r="D4" s="15" t="str">
        <x:v>แนบหลักฐานและล็อกขอบเขต</x:v>
      </x:c>
    </x:row>
    <x:row r="5">
      <x:c r="A5" s="22" t="str">
        <x:v>กำลังพัฒนา</x:v>
      </x:c>
      <x:c r="B5" s="16" t="str">
        <x:v>มีโค้ดหรือหน้าจอบางส่วนแล้ว</x:v>
      </x:c>
      <x:c r="C5" s="16" t="str">
        <x:v>เหลือง</x:v>
      </x:c>
      <x:c r="D5" s="16" t="str">
        <x:v>ระบุงานถัดไปและเจ้าของ</x:v>
      </x:c>
    </x:row>
    <x:row r="6">
      <x:c r="A6" s="22" t="str">
        <x:v>ยังไม่เริ่ม</x:v>
      </x:c>
      <x:c r="B6" s="16" t="str">
        <x:v>อยู่ในแผนแต่ยังไม่มีหลักฐาน</x:v>
      </x:c>
      <x:c r="C6" s="16" t="str">
        <x:v>เทา</x:v>
      </x:c>
      <x:c r="D6" s="16" t="str">
        <x:v>กำหนดวันเริ่มและผู้รับผิดชอบ</x:v>
      </x:c>
    </x:row>
    <x:row r="7">
      <x:c r="A7" s="23" t="str">
        <x:v>มีปัญหา</x:v>
      </x:c>
      <x:c r="B7" s="17" t="str">
        <x:v>ติดข้อจำกัดทางเทคนิค ข้อมูล หรือความปลอดภัย</x:v>
      </x:c>
      <x:c r="C7" s="17" t="str">
        <x:v>แดง</x:v>
      </x:c>
      <x:c r="D7" s="17" t="str">
        <x:v>แก้ความเสี่ยงก่อนส่งมอบ</x:v>
      </x:c>
    </x:row>
  </x:sheetData>
  <x:mergeCells>
    <x:mergeCell ref="A1:D1"/>
  </x:mergeCells>
  <x:conditionalFormatting sqref="A4:A7">
    <x:cfRule type="containsText" dxfId="0" priority="1" operator="containsText" text="เสร็จแล้ว"/>
    <x:cfRule type="containsText" dxfId="1" priority="2" operator="containsText" text="กำลังพัฒนา"/>
    <x:cfRule type="containsText" dxfId="2" priority="3" operator="containsText" text="ยังไม่เริ่ม"/>
    <x:cfRule type="containsText" dxfId="3" priority="4" operator="containsText" text="มีปัญหา"/>
  </x:conditionalFormatting>
  <x:dataValidations count="1">
    <x:dataValidation type="list" sqref="A4:A7">
      <x:formula1>"เสร็จแล้ว,กำลังพัฒนา,ยังไม่เริ่ม,มีปัญหา"</x:formula1>
    </x:dataValidation>
  </x:dataValidations>
  <x:pageMargins left="0.7" right="0.7" top="0.75" bottom="0.75" header="0.3" footer="0.3"/>
</x:worksheet>
</file>